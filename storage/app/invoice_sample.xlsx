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شرکت\آله\گزارشات دومینو\1405\دفترمرکزی\"/>
    </mc:Choice>
  </mc:AlternateContent>
  <xr:revisionPtr revIDLastSave="0" documentId="13_ncr:1_{DB954662-E14F-4117-BF7D-2B2ECE59A9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جدیدتر" sheetId="2" r:id="rId1"/>
  </sheets>
  <definedNames>
    <definedName name="_xlnm.Print_Area" localSheetId="0">جدیدتر!$A$1:$BK$34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2" i="2" l="1"/>
  <c r="AQ22" i="2" s="1"/>
  <c r="AX22" i="2" s="1"/>
  <c r="AE23" i="2"/>
  <c r="AQ23" i="2" s="1"/>
  <c r="AX23" i="2" s="1"/>
  <c r="AE24" i="2"/>
  <c r="AE25" i="2"/>
  <c r="AQ25" i="2" s="1"/>
  <c r="AX25" i="2" s="1"/>
  <c r="AE26" i="2"/>
  <c r="AQ26" i="2" s="1"/>
  <c r="AX26" i="2" s="1"/>
  <c r="AE27" i="2"/>
  <c r="AQ27" i="2" s="1"/>
  <c r="AX27" i="2" s="1"/>
  <c r="AE28" i="2"/>
  <c r="AQ28" i="2" s="1"/>
  <c r="AX28" i="2" s="1"/>
  <c r="AQ24" i="2" l="1"/>
  <c r="AX24" i="2" s="1"/>
  <c r="BC26" i="2"/>
  <c r="BC25" i="2"/>
  <c r="BC27" i="2" l="1"/>
  <c r="BC23" i="2"/>
  <c r="AE21" i="2" l="1"/>
  <c r="AQ21" i="2" l="1"/>
  <c r="AX21" i="2" s="1"/>
  <c r="BC21" i="2" s="1"/>
  <c r="AE29" i="2"/>
  <c r="BC24" i="2"/>
  <c r="BC28" i="2"/>
  <c r="BC22" i="2"/>
  <c r="AQ29" i="2"/>
  <c r="BC29" i="2" l="1"/>
  <c r="AX29" i="2"/>
</calcChain>
</file>

<file path=xl/sharedStrings.xml><?xml version="1.0" encoding="utf-8"?>
<sst xmlns="http://schemas.openxmlformats.org/spreadsheetml/2006/main" count="84" uniqueCount="56">
  <si>
    <t>استان :</t>
  </si>
  <si>
    <t>شماره اقتصادی :</t>
  </si>
  <si>
    <t>کد پستی ده رقمی :</t>
  </si>
  <si>
    <t>شماره ثبت :</t>
  </si>
  <si>
    <t>شناسه ملی :</t>
  </si>
  <si>
    <t>مشخصات فروشنده</t>
  </si>
  <si>
    <t>مشخصات خریدار</t>
  </si>
  <si>
    <t>کد کالا</t>
  </si>
  <si>
    <t>شرح کالا یا خدمات</t>
  </si>
  <si>
    <t>واحد اندازه گیری</t>
  </si>
  <si>
    <t>تعداد / مقدار</t>
  </si>
  <si>
    <t>مبلغ واحد (ریال)</t>
  </si>
  <si>
    <t>مبلغ کل (ریال)</t>
  </si>
  <si>
    <t>مبلغ تخفیف (ریال)</t>
  </si>
  <si>
    <t>مبلغ کل پس از تخفیف (ریال)</t>
  </si>
  <si>
    <t>جمع مالیات و عوارض (ریال)</t>
  </si>
  <si>
    <t>جمع مبلغ کل بعلاوه جمع مالیات و عوارض (ریال)</t>
  </si>
  <si>
    <t>نقدی</t>
  </si>
  <si>
    <t>غیر نقدی</t>
  </si>
  <si>
    <t>مهر و امضا خریدار :</t>
  </si>
  <si>
    <t>□</t>
  </si>
  <si>
    <t xml:space="preserve"> نام شخص حقیقی / حقوقی :</t>
  </si>
  <si>
    <t xml:space="preserve"> نشانی کامل :</t>
  </si>
  <si>
    <t xml:space="preserve"> نشانی :</t>
  </si>
  <si>
    <t xml:space="preserve"> ردیف</t>
  </si>
  <si>
    <t>مشخصات کالا یا خدمات</t>
  </si>
  <si>
    <t>شهرستان :</t>
  </si>
  <si>
    <t xml:space="preserve">  جمع کل :</t>
  </si>
  <si>
    <t xml:space="preserve">  مهر و امضا فروشنده :</t>
  </si>
  <si>
    <t xml:space="preserve"> </t>
  </si>
  <si>
    <t>تاریخ :</t>
  </si>
  <si>
    <t>تهران</t>
  </si>
  <si>
    <t>-</t>
  </si>
  <si>
    <t>شماره فاکتور:</t>
  </si>
  <si>
    <t>تلفن / همراه:</t>
  </si>
  <si>
    <t>بیکران پایش آله</t>
  </si>
  <si>
    <t>شماره حساب بانک مهر ایران : 500601113453787001 / شبا:IR200600500601113453787001</t>
  </si>
  <si>
    <t>_</t>
  </si>
  <si>
    <t>عدد</t>
  </si>
  <si>
    <t xml:space="preserve">  فاکتور فروش کالا و خدمات</t>
  </si>
  <si>
    <t>لبنیات و بستنی دومینو</t>
  </si>
  <si>
    <t>کیلومتر 13 جاده ساوه، بعد از پل شاتره، خیابان شهید رجایی</t>
  </si>
  <si>
    <t>55267070</t>
  </si>
  <si>
    <t>عیب یابی و تعویض دوربین قدیمی</t>
  </si>
  <si>
    <t>نظافت و تنظیم زاویه دوربین های قدیمی</t>
  </si>
  <si>
    <t>نصب و تنظیم دوربین مداربسته</t>
  </si>
  <si>
    <t xml:space="preserve">نصب و تنظیم سوئیچ </t>
  </si>
  <si>
    <t>توضیحات : نرخ پایه خدمات فنی - تخصصی انفورماتیک سال 1405</t>
  </si>
  <si>
    <t>1405/01/29</t>
  </si>
  <si>
    <t>`</t>
  </si>
  <si>
    <t xml:space="preserve">نصب باکس پلاستیکی دوربین مداربسته </t>
  </si>
  <si>
    <t>نصب رک  و متعلقات ، آرایش وایرینگ</t>
  </si>
  <si>
    <t>نصب و پانچ پچ پنل CAT6 STP</t>
  </si>
  <si>
    <t>تست و شماره گذاری نود</t>
  </si>
  <si>
    <t>یک میلیاردوششصدوچهل وچهارمیلیون و هشتصدوبیست هزار وسیصد و بیست ریال</t>
  </si>
  <si>
    <t>شهرک راه آهن، بلوار امیرکبیر، نبش خیابان اردکان، پلاک1، واحد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</si>
</sst>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charset val="178"/>
      <scheme val="minor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sz val="14"/>
      <color theme="1"/>
      <name val="B Titr"/>
      <charset val="178"/>
    </font>
    <font>
      <sz val="28"/>
      <color theme="1"/>
      <name val="B Nazanin"/>
      <charset val="178"/>
    </font>
    <font>
      <b/>
      <sz val="14"/>
      <color theme="1"/>
      <name val="B Nazanin"/>
      <charset val="178"/>
    </font>
    <font>
      <b/>
      <sz val="10"/>
      <color theme="1"/>
      <name val="B Nazanin"/>
      <charset val="178"/>
    </font>
    <font>
      <sz val="10"/>
      <color theme="1"/>
      <name val="Calibri"/>
      <family val="2"/>
      <charset val="178"/>
      <scheme val="minor"/>
    </font>
    <font>
      <b/>
      <sz val="11"/>
      <color theme="1"/>
      <name val="B Nazanin"/>
      <charset val="178"/>
    </font>
    <font>
      <sz val="11"/>
      <color theme="1"/>
      <name val="Calibri"/>
      <family val="2"/>
      <charset val="178"/>
      <scheme val="minor"/>
    </font>
    <font>
      <b/>
      <sz val="12"/>
      <color theme="1" tint="0.499984740745262"/>
      <name val="B Nazanin"/>
      <charset val="178"/>
    </font>
    <font>
      <b/>
      <sz val="11"/>
      <color rgb="FFFF0000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 vertical="center"/>
    </xf>
    <xf numFmtId="165" fontId="1" fillId="0" borderId="6" xfId="1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65" fontId="1" fillId="0" borderId="5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top" wrapText="1"/>
    </xf>
    <xf numFmtId="49" fontId="8" fillId="0" borderId="0" xfId="0" applyNumberFormat="1" applyFont="1" applyAlignment="1">
      <alignment horizontal="right" vertical="top"/>
    </xf>
    <xf numFmtId="0" fontId="5" fillId="2" borderId="8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7" fillId="0" borderId="10" xfId="0" applyFont="1" applyBorder="1"/>
    <xf numFmtId="49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8801</xdr:colOff>
      <xdr:row>19</xdr:row>
      <xdr:rowOff>5487</xdr:rowOff>
    </xdr:from>
    <xdr:to>
      <xdr:col>62</xdr:col>
      <xdr:colOff>16734</xdr:colOff>
      <xdr:row>31</xdr:row>
      <xdr:rowOff>377359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694650216" y="3256687"/>
          <a:ext cx="10288583" cy="4493022"/>
        </a:xfrm>
        <a:prstGeom prst="roundRect">
          <a:avLst>
            <a:gd name="adj" fmla="val 2945"/>
          </a:avLst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57151</xdr:colOff>
      <xdr:row>4</xdr:row>
      <xdr:rowOff>2310</xdr:rowOff>
    </xdr:from>
    <xdr:to>
      <xdr:col>61</xdr:col>
      <xdr:colOff>93660</xdr:colOff>
      <xdr:row>5</xdr:row>
      <xdr:rowOff>10249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591023840" y="700810"/>
          <a:ext cx="9625009" cy="246064"/>
        </a:xfrm>
        <a:prstGeom prst="roundRect">
          <a:avLst>
            <a:gd name="adj" fmla="val 34783"/>
          </a:avLst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 rtl="1"/>
          <a:endParaRPr lang="en-US" sz="1200" b="1">
            <a:solidFill>
              <a:sysClr val="windowText" lastClr="000000"/>
            </a:solidFill>
            <a:cs typeface="B Nazanin" pitchFamily="2" charset="-78"/>
          </a:endParaRPr>
        </a:p>
      </xdr:txBody>
    </xdr:sp>
    <xdr:clientData/>
  </xdr:twoCellAnchor>
  <xdr:twoCellAnchor>
    <xdr:from>
      <xdr:col>0</xdr:col>
      <xdr:colOff>57151</xdr:colOff>
      <xdr:row>10</xdr:row>
      <xdr:rowOff>237402</xdr:rowOff>
    </xdr:from>
    <xdr:to>
      <xdr:col>61</xdr:col>
      <xdr:colOff>93659</xdr:colOff>
      <xdr:row>12</xdr:row>
      <xdr:rowOff>7218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642846191" y="1894752"/>
          <a:ext cx="9818683" cy="255591"/>
        </a:xfrm>
        <a:prstGeom prst="roundRect">
          <a:avLst>
            <a:gd name="adj" fmla="val 34783"/>
          </a:avLst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 rtl="1"/>
          <a:endParaRPr lang="en-US" sz="1200" b="1">
            <a:solidFill>
              <a:sysClr val="windowText" lastClr="000000"/>
            </a:solidFill>
            <a:cs typeface="B Nazanin" pitchFamily="2" charset="-78"/>
          </a:endParaRPr>
        </a:p>
      </xdr:txBody>
    </xdr:sp>
    <xdr:clientData/>
  </xdr:twoCellAnchor>
  <xdr:twoCellAnchor>
    <xdr:from>
      <xdr:col>0</xdr:col>
      <xdr:colOff>57151</xdr:colOff>
      <xdr:row>5</xdr:row>
      <xdr:rowOff>7938</xdr:rowOff>
    </xdr:from>
    <xdr:to>
      <xdr:col>61</xdr:col>
      <xdr:colOff>93658</xdr:colOff>
      <xdr:row>10</xdr:row>
      <xdr:rowOff>238125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642846192" y="969963"/>
          <a:ext cx="9818682" cy="925512"/>
        </a:xfrm>
        <a:prstGeom prst="roundRect">
          <a:avLst>
            <a:gd name="adj" fmla="val 14608"/>
          </a:avLst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 rtl="1"/>
          <a:endParaRPr lang="en-US" sz="1200" b="1">
            <a:solidFill>
              <a:sysClr val="windowText" lastClr="000000"/>
            </a:solidFill>
            <a:cs typeface="B Nazanin" pitchFamily="2" charset="-78"/>
          </a:endParaRPr>
        </a:p>
      </xdr:txBody>
    </xdr:sp>
    <xdr:clientData/>
  </xdr:twoCellAnchor>
  <xdr:twoCellAnchor>
    <xdr:from>
      <xdr:col>0</xdr:col>
      <xdr:colOff>57151</xdr:colOff>
      <xdr:row>12</xdr:row>
      <xdr:rowOff>7216</xdr:rowOff>
    </xdr:from>
    <xdr:to>
      <xdr:col>61</xdr:col>
      <xdr:colOff>93657</xdr:colOff>
      <xdr:row>17</xdr:row>
      <xdr:rowOff>242454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42846193" y="2150341"/>
          <a:ext cx="9818681" cy="930563"/>
        </a:xfrm>
        <a:prstGeom prst="roundRect">
          <a:avLst>
            <a:gd name="adj" fmla="val 14608"/>
          </a:avLst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 rtl="1"/>
          <a:endParaRPr lang="en-US" sz="1200" b="1">
            <a:solidFill>
              <a:sysClr val="windowText" lastClr="000000"/>
            </a:solidFill>
            <a:cs typeface="B Nazanin" pitchFamily="2" charset="-78"/>
          </a:endParaRPr>
        </a:p>
      </xdr:txBody>
    </xdr:sp>
    <xdr:clientData/>
  </xdr:twoCellAnchor>
  <xdr:twoCellAnchor>
    <xdr:from>
      <xdr:col>0</xdr:col>
      <xdr:colOff>57151</xdr:colOff>
      <xdr:row>17</xdr:row>
      <xdr:rowOff>242454</xdr:rowOff>
    </xdr:from>
    <xdr:to>
      <xdr:col>61</xdr:col>
      <xdr:colOff>93658</xdr:colOff>
      <xdr:row>18</xdr:row>
      <xdr:rowOff>242455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642846192" y="3080904"/>
          <a:ext cx="9818682" cy="247651"/>
        </a:xfrm>
        <a:prstGeom prst="roundRect">
          <a:avLst>
            <a:gd name="adj" fmla="val 34783"/>
          </a:avLst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 rtl="1"/>
          <a:endParaRPr lang="en-US" sz="1200" b="1">
            <a:solidFill>
              <a:sysClr val="windowText" lastClr="000000"/>
            </a:solidFill>
            <a:cs typeface="B Nazanin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R34"/>
  <sheetViews>
    <sheetView rightToLeft="1" tabSelected="1" zoomScale="115" zoomScaleNormal="115" workbookViewId="0">
      <selection activeCell="B12" sqref="B12:BJ12"/>
    </sheetView>
  </sheetViews>
  <sheetFormatPr defaultColWidth="2.44140625" defaultRowHeight="19.5" customHeight="1" x14ac:dyDescent="0.3"/>
  <cols>
    <col min="1" max="1" width="1" style="1" customWidth="1"/>
    <col min="2" max="4" width="2.44140625" style="1"/>
    <col min="5" max="5" width="2.44140625" style="1" customWidth="1"/>
    <col min="6" max="28" width="2.44140625" style="1"/>
    <col min="29" max="29" width="4.88671875" style="1" customWidth="1"/>
    <col min="30" max="30" width="2.88671875" style="1" customWidth="1"/>
    <col min="31" max="44" width="2.44140625" style="1"/>
    <col min="45" max="45" width="3.44140625" style="1" bestFit="1" customWidth="1"/>
    <col min="46" max="49" width="2.44140625" style="1"/>
    <col min="50" max="50" width="3.44140625" style="1" customWidth="1"/>
    <col min="51" max="61" width="2.44140625" style="1"/>
    <col min="62" max="62" width="1.44140625" style="1" customWidth="1"/>
    <col min="63" max="63" width="1" style="1" customWidth="1"/>
    <col min="64" max="16384" width="2.44140625" style="1"/>
  </cols>
  <sheetData>
    <row r="1" spans="2:70" ht="13.5" customHeight="1" x14ac:dyDescent="0.3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29" t="s">
        <v>39</v>
      </c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9"/>
      <c r="AU1" s="9"/>
      <c r="AV1" s="9"/>
      <c r="AW1" s="9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2:70" ht="13.5" customHeight="1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9"/>
      <c r="AU2" s="9"/>
      <c r="AV2" s="9"/>
      <c r="AW2" s="9"/>
      <c r="AX2" s="10"/>
      <c r="AY2" s="10"/>
      <c r="BI2" s="10"/>
      <c r="BJ2" s="10"/>
    </row>
    <row r="3" spans="2:70" ht="13.5" customHeight="1" x14ac:dyDescent="0.3">
      <c r="B3" s="21" t="s">
        <v>30</v>
      </c>
      <c r="C3" s="21"/>
      <c r="D3" s="21"/>
      <c r="E3" s="30" t="s">
        <v>48</v>
      </c>
      <c r="F3" s="30"/>
      <c r="G3" s="30"/>
      <c r="H3" s="30"/>
      <c r="I3" s="30"/>
      <c r="J3" s="30"/>
      <c r="K3" s="30"/>
      <c r="L3" s="9"/>
      <c r="M3" s="9"/>
      <c r="N3" s="9"/>
      <c r="O3" s="9"/>
      <c r="P3" s="9"/>
      <c r="Q3" s="9"/>
      <c r="R3" s="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9"/>
      <c r="AU3" s="9"/>
      <c r="AV3" s="9"/>
      <c r="AW3" s="9"/>
      <c r="AX3" s="10"/>
      <c r="AY3" s="10"/>
      <c r="AZ3" s="21" t="s">
        <v>33</v>
      </c>
      <c r="BA3" s="21"/>
      <c r="BB3" s="21"/>
      <c r="BC3" s="21"/>
      <c r="BD3" s="21"/>
      <c r="BE3" s="22">
        <v>4</v>
      </c>
      <c r="BF3" s="22"/>
      <c r="BG3" s="22"/>
      <c r="BH3" s="22"/>
      <c r="BI3" s="10"/>
      <c r="BJ3" s="10"/>
    </row>
    <row r="4" spans="2:70" ht="13.5" customHeight="1" x14ac:dyDescent="0.3">
      <c r="B4" s="21"/>
      <c r="C4" s="21"/>
      <c r="D4" s="21"/>
      <c r="E4" s="30"/>
      <c r="F4" s="30"/>
      <c r="G4" s="30"/>
      <c r="H4" s="30"/>
      <c r="I4" s="30"/>
      <c r="J4" s="30"/>
      <c r="K4" s="30"/>
      <c r="L4" s="9"/>
      <c r="M4" s="9"/>
      <c r="N4" s="9"/>
      <c r="O4" s="9"/>
      <c r="P4" s="9"/>
      <c r="Q4" s="9"/>
      <c r="R4" s="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9"/>
      <c r="AU4" s="9"/>
      <c r="AV4" s="9"/>
      <c r="AW4" s="9"/>
      <c r="AX4" s="10"/>
      <c r="AY4" s="10"/>
      <c r="AZ4" s="21"/>
      <c r="BA4" s="21"/>
      <c r="BB4" s="21"/>
      <c r="BC4" s="21"/>
      <c r="BD4" s="21"/>
      <c r="BE4" s="22"/>
      <c r="BF4" s="22"/>
      <c r="BG4" s="22"/>
      <c r="BH4" s="22"/>
      <c r="BI4" s="10"/>
      <c r="BJ4" s="10"/>
    </row>
    <row r="5" spans="2:70" ht="18.75" customHeight="1" x14ac:dyDescent="0.3">
      <c r="B5" s="23" t="s">
        <v>5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5"/>
    </row>
    <row r="6" spans="2:70" ht="6.75" customHeight="1" x14ac:dyDescent="0.3"/>
    <row r="7" spans="2:70" ht="18.75" customHeight="1" x14ac:dyDescent="0.3">
      <c r="B7" s="34" t="s">
        <v>21</v>
      </c>
      <c r="C7" s="34"/>
      <c r="D7" s="34"/>
      <c r="E7" s="34"/>
      <c r="F7" s="34"/>
      <c r="G7" s="34"/>
      <c r="H7" s="34"/>
      <c r="I7" s="34"/>
      <c r="J7" s="34"/>
      <c r="K7" s="26" t="s">
        <v>35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7" t="s">
        <v>1</v>
      </c>
      <c r="AD7" s="27"/>
      <c r="AE7" s="27"/>
      <c r="AF7" s="27"/>
      <c r="AG7" s="27"/>
      <c r="AH7" s="3" t="s">
        <v>32</v>
      </c>
      <c r="AI7" s="3">
        <v>1</v>
      </c>
      <c r="AJ7" s="3">
        <v>1</v>
      </c>
      <c r="AK7" s="3">
        <v>2</v>
      </c>
      <c r="AL7" s="3">
        <v>1</v>
      </c>
      <c r="AM7" s="3">
        <v>6</v>
      </c>
      <c r="AN7" s="3">
        <v>6</v>
      </c>
      <c r="AO7" s="3">
        <v>1</v>
      </c>
      <c r="AP7" s="3">
        <v>1</v>
      </c>
      <c r="AQ7" s="3">
        <v>0</v>
      </c>
      <c r="AR7" s="3">
        <v>4</v>
      </c>
      <c r="AS7" s="3">
        <v>1</v>
      </c>
      <c r="AT7" s="2"/>
      <c r="AU7" s="27" t="s">
        <v>3</v>
      </c>
      <c r="AV7" s="27"/>
      <c r="AW7" s="27"/>
      <c r="AX7" s="27"/>
      <c r="AY7" s="3">
        <v>5</v>
      </c>
      <c r="AZ7" s="3">
        <v>1</v>
      </c>
      <c r="BA7" s="3">
        <v>8</v>
      </c>
      <c r="BB7" s="3">
        <v>4</v>
      </c>
      <c r="BC7" s="3">
        <v>0</v>
      </c>
      <c r="BD7" s="3">
        <v>6</v>
      </c>
      <c r="BE7" s="2"/>
      <c r="BF7" s="2"/>
      <c r="BG7" s="2"/>
      <c r="BH7" s="2"/>
      <c r="BI7" s="2"/>
    </row>
    <row r="8" spans="2:70" ht="4.5" customHeight="1" x14ac:dyDescent="0.3"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2:70" ht="18.75" customHeight="1" x14ac:dyDescent="0.3">
      <c r="B9" s="27" t="s">
        <v>22</v>
      </c>
      <c r="C9" s="27"/>
      <c r="D9" s="27"/>
      <c r="E9" s="27"/>
      <c r="F9" s="27" t="s">
        <v>0</v>
      </c>
      <c r="G9" s="27"/>
      <c r="H9" s="27"/>
      <c r="I9" s="26" t="s">
        <v>31</v>
      </c>
      <c r="J9" s="26"/>
      <c r="K9" s="26"/>
      <c r="L9" s="26"/>
      <c r="M9" s="26"/>
      <c r="N9" s="26"/>
      <c r="O9" s="26"/>
      <c r="P9" s="26"/>
      <c r="Q9" s="27" t="s">
        <v>26</v>
      </c>
      <c r="R9" s="27"/>
      <c r="S9" s="27"/>
      <c r="T9" s="27"/>
      <c r="U9" s="26" t="s">
        <v>31</v>
      </c>
      <c r="V9" s="26"/>
      <c r="W9" s="26"/>
      <c r="X9" s="26"/>
      <c r="Y9" s="26"/>
      <c r="Z9" s="26"/>
      <c r="AA9" s="26"/>
      <c r="AB9" s="27" t="s">
        <v>2</v>
      </c>
      <c r="AC9" s="27"/>
      <c r="AD9" s="27"/>
      <c r="AE9" s="27"/>
      <c r="AF9" s="27"/>
      <c r="AG9" s="27"/>
      <c r="AH9" s="3">
        <v>5</v>
      </c>
      <c r="AI9" s="3">
        <v>4</v>
      </c>
      <c r="AJ9" s="3">
        <v>8</v>
      </c>
      <c r="AK9" s="3">
        <v>4</v>
      </c>
      <c r="AL9" s="3">
        <v>4</v>
      </c>
      <c r="AM9" s="3">
        <v>8</v>
      </c>
      <c r="AN9" s="3">
        <v>5</v>
      </c>
      <c r="AO9" s="3">
        <v>1</v>
      </c>
      <c r="AP9" s="3">
        <v>4</v>
      </c>
      <c r="AQ9" s="3">
        <v>1</v>
      </c>
      <c r="AR9" s="2"/>
      <c r="AS9" s="2"/>
      <c r="AT9" s="2"/>
      <c r="AU9" s="27" t="s">
        <v>4</v>
      </c>
      <c r="AV9" s="27"/>
      <c r="AW9" s="27"/>
      <c r="AX9" s="27"/>
      <c r="AY9" s="3">
        <v>1</v>
      </c>
      <c r="AZ9" s="3">
        <v>1</v>
      </c>
      <c r="BA9" s="3">
        <v>2</v>
      </c>
      <c r="BB9" s="3">
        <v>1</v>
      </c>
      <c r="BC9" s="3">
        <v>6</v>
      </c>
      <c r="BD9" s="3">
        <v>6</v>
      </c>
      <c r="BE9" s="3">
        <v>1</v>
      </c>
      <c r="BF9" s="3">
        <v>1</v>
      </c>
      <c r="BG9" s="3">
        <v>0</v>
      </c>
      <c r="BH9" s="3">
        <v>4</v>
      </c>
      <c r="BI9" s="3">
        <v>1</v>
      </c>
      <c r="BR9" s="1" t="s">
        <v>29</v>
      </c>
    </row>
    <row r="10" spans="2:70" ht="4.5" customHeight="1" x14ac:dyDescent="0.3"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</row>
    <row r="11" spans="2:70" ht="19.5" customHeight="1" x14ac:dyDescent="0.3">
      <c r="B11" s="34" t="s">
        <v>23</v>
      </c>
      <c r="C11" s="34"/>
      <c r="D11" s="34"/>
      <c r="E11" s="26" t="s">
        <v>55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46" t="s">
        <v>34</v>
      </c>
      <c r="AV11" s="46"/>
      <c r="AW11" s="46"/>
      <c r="AX11" s="46"/>
      <c r="AY11" s="35">
        <v>9355284901</v>
      </c>
      <c r="AZ11" s="36"/>
      <c r="BA11" s="36"/>
      <c r="BB11" s="36"/>
      <c r="BC11" s="36"/>
      <c r="BD11" s="36"/>
      <c r="BE11" s="36"/>
      <c r="BF11" s="36"/>
      <c r="BG11" s="36"/>
      <c r="BH11" s="36"/>
      <c r="BI11" s="36"/>
    </row>
    <row r="12" spans="2:70" ht="18.75" customHeight="1" x14ac:dyDescent="0.3">
      <c r="B12" s="28" t="s">
        <v>6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</row>
    <row r="13" spans="2:70" ht="6.75" customHeight="1" x14ac:dyDescent="0.3"/>
    <row r="14" spans="2:70" ht="22.5" customHeight="1" x14ac:dyDescent="0.3">
      <c r="B14" s="34" t="s">
        <v>21</v>
      </c>
      <c r="C14" s="34"/>
      <c r="D14" s="34"/>
      <c r="E14" s="34"/>
      <c r="F14" s="34"/>
      <c r="G14" s="34"/>
      <c r="H14" s="34"/>
      <c r="I14" s="34"/>
      <c r="J14" s="34"/>
      <c r="K14" s="26" t="s">
        <v>40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7" t="s">
        <v>1</v>
      </c>
      <c r="AD14" s="27"/>
      <c r="AE14" s="27"/>
      <c r="AF14" s="27"/>
      <c r="AG14" s="27"/>
      <c r="AH14" s="3">
        <v>3</v>
      </c>
      <c r="AI14" s="3">
        <v>4</v>
      </c>
      <c r="AJ14" s="3">
        <v>3</v>
      </c>
      <c r="AK14" s="3">
        <v>5</v>
      </c>
      <c r="AL14" s="3">
        <v>7</v>
      </c>
      <c r="AM14" s="3">
        <v>7</v>
      </c>
      <c r="AN14" s="3">
        <v>7</v>
      </c>
      <c r="AO14" s="3">
        <v>8</v>
      </c>
      <c r="AP14" s="3">
        <v>3</v>
      </c>
      <c r="AQ14" s="3">
        <v>1</v>
      </c>
      <c r="AR14" s="3">
        <v>1</v>
      </c>
      <c r="AS14" s="3">
        <v>4</v>
      </c>
      <c r="AT14" s="7"/>
      <c r="AU14" s="27" t="s">
        <v>3</v>
      </c>
      <c r="AV14" s="27"/>
      <c r="AW14" s="27"/>
      <c r="AX14" s="27"/>
      <c r="AY14" s="3">
        <v>3</v>
      </c>
      <c r="AZ14" s="3">
        <v>1</v>
      </c>
      <c r="BA14" s="3">
        <v>4</v>
      </c>
      <c r="BB14" s="3">
        <v>7</v>
      </c>
      <c r="BC14" s="3">
        <v>1</v>
      </c>
      <c r="BD14" s="3">
        <v>4</v>
      </c>
      <c r="BE14" s="8"/>
      <c r="BF14" s="2"/>
      <c r="BG14" s="2"/>
      <c r="BH14" s="2"/>
      <c r="BI14" s="2"/>
    </row>
    <row r="15" spans="2:70" ht="4.5" customHeight="1" x14ac:dyDescent="0.3"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</row>
    <row r="16" spans="2:70" ht="22.5" customHeight="1" x14ac:dyDescent="0.3">
      <c r="B16" s="27" t="s">
        <v>22</v>
      </c>
      <c r="C16" s="27"/>
      <c r="D16" s="27"/>
      <c r="E16" s="27"/>
      <c r="F16" s="27" t="s">
        <v>0</v>
      </c>
      <c r="G16" s="27"/>
      <c r="H16" s="27"/>
      <c r="I16" s="26" t="s">
        <v>31</v>
      </c>
      <c r="J16" s="26"/>
      <c r="K16" s="26"/>
      <c r="L16" s="26"/>
      <c r="M16" s="26"/>
      <c r="N16" s="26"/>
      <c r="O16" s="26"/>
      <c r="P16" s="26"/>
      <c r="Q16" s="27" t="s">
        <v>26</v>
      </c>
      <c r="R16" s="27"/>
      <c r="S16" s="27"/>
      <c r="T16" s="27"/>
      <c r="U16" s="26"/>
      <c r="V16" s="26"/>
      <c r="W16" s="26"/>
      <c r="X16" s="26"/>
      <c r="Y16" s="26"/>
      <c r="Z16" s="26"/>
      <c r="AA16" s="26"/>
      <c r="AB16" s="27" t="s">
        <v>2</v>
      </c>
      <c r="AC16" s="27"/>
      <c r="AD16" s="27"/>
      <c r="AE16" s="27"/>
      <c r="AF16" s="27"/>
      <c r="AG16" s="27"/>
      <c r="AH16" s="3">
        <v>7</v>
      </c>
      <c r="AI16" s="3">
        <v>9</v>
      </c>
      <c r="AJ16" s="3">
        <v>1</v>
      </c>
      <c r="AK16" s="3">
        <v>9</v>
      </c>
      <c r="AL16" s="3">
        <v>4</v>
      </c>
      <c r="AM16" s="3">
        <v>7</v>
      </c>
      <c r="AN16" s="3">
        <v>8</v>
      </c>
      <c r="AO16" s="3">
        <v>1</v>
      </c>
      <c r="AP16" s="3">
        <v>3</v>
      </c>
      <c r="AQ16" s="3">
        <v>3</v>
      </c>
      <c r="AR16" s="8"/>
      <c r="AS16" s="2"/>
      <c r="AT16" s="7"/>
      <c r="AU16" s="27" t="s">
        <v>4</v>
      </c>
      <c r="AV16" s="27"/>
      <c r="AW16" s="27"/>
      <c r="AX16" s="27"/>
      <c r="AY16" s="3">
        <v>8</v>
      </c>
      <c r="AZ16" s="3">
        <v>7</v>
      </c>
      <c r="BA16" s="3">
        <v>7</v>
      </c>
      <c r="BB16" s="3">
        <v>9</v>
      </c>
      <c r="BC16" s="3">
        <v>8</v>
      </c>
      <c r="BD16" s="3">
        <v>6</v>
      </c>
      <c r="BE16" s="3">
        <v>0</v>
      </c>
      <c r="BF16" s="3">
        <v>2</v>
      </c>
      <c r="BG16" s="3">
        <v>3</v>
      </c>
      <c r="BH16" s="3">
        <v>0</v>
      </c>
      <c r="BI16" s="3">
        <v>1</v>
      </c>
    </row>
    <row r="17" spans="2:67" ht="4.5" customHeight="1" x14ac:dyDescent="0.3"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</row>
    <row r="18" spans="2:67" ht="19.5" customHeight="1" x14ac:dyDescent="0.3">
      <c r="B18" s="34" t="s">
        <v>23</v>
      </c>
      <c r="C18" s="34"/>
      <c r="D18" s="34"/>
      <c r="E18" s="26" t="s">
        <v>41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46" t="s">
        <v>34</v>
      </c>
      <c r="AV18" s="46"/>
      <c r="AW18" s="46"/>
      <c r="AX18" s="46"/>
      <c r="AY18" s="45" t="s">
        <v>42</v>
      </c>
      <c r="AZ18" s="45"/>
      <c r="BA18" s="45"/>
      <c r="BB18" s="45"/>
      <c r="BC18" s="45"/>
      <c r="BD18" s="45"/>
      <c r="BE18" s="45"/>
      <c r="BF18" s="45"/>
      <c r="BG18" s="45"/>
      <c r="BH18" s="45"/>
      <c r="BI18" s="45"/>
    </row>
    <row r="19" spans="2:67" ht="19.5" customHeight="1" x14ac:dyDescent="0.3">
      <c r="B19" s="37" t="s">
        <v>25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9"/>
    </row>
    <row r="20" spans="2:67" ht="53.25" customHeight="1" x14ac:dyDescent="0.3">
      <c r="B20" s="43" t="s">
        <v>24</v>
      </c>
      <c r="C20" s="44"/>
      <c r="D20" s="31" t="s">
        <v>7</v>
      </c>
      <c r="E20" s="31"/>
      <c r="F20" s="31"/>
      <c r="G20" s="31" t="s">
        <v>8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 t="s">
        <v>10</v>
      </c>
      <c r="U20" s="31"/>
      <c r="V20" s="31"/>
      <c r="W20" s="40" t="s">
        <v>9</v>
      </c>
      <c r="X20" s="41"/>
      <c r="Y20" s="42"/>
      <c r="Z20" s="31" t="s">
        <v>11</v>
      </c>
      <c r="AA20" s="31"/>
      <c r="AB20" s="31"/>
      <c r="AC20" s="31"/>
      <c r="AD20" s="31"/>
      <c r="AE20" s="31" t="s">
        <v>12</v>
      </c>
      <c r="AF20" s="31"/>
      <c r="AG20" s="31"/>
      <c r="AH20" s="31"/>
      <c r="AI20" s="31"/>
      <c r="AJ20" s="31"/>
      <c r="AK20" s="31"/>
      <c r="AL20" s="31" t="s">
        <v>13</v>
      </c>
      <c r="AM20" s="31"/>
      <c r="AN20" s="31"/>
      <c r="AO20" s="31"/>
      <c r="AP20" s="31"/>
      <c r="AQ20" s="40" t="s">
        <v>14</v>
      </c>
      <c r="AR20" s="41"/>
      <c r="AS20" s="41"/>
      <c r="AT20" s="41"/>
      <c r="AU20" s="41"/>
      <c r="AV20" s="41"/>
      <c r="AW20" s="42"/>
      <c r="AX20" s="40" t="s">
        <v>15</v>
      </c>
      <c r="AY20" s="41"/>
      <c r="AZ20" s="41"/>
      <c r="BA20" s="41"/>
      <c r="BB20" s="42"/>
      <c r="BC20" s="31" t="s">
        <v>16</v>
      </c>
      <c r="BD20" s="31"/>
      <c r="BE20" s="31"/>
      <c r="BF20" s="31"/>
      <c r="BG20" s="31"/>
      <c r="BH20" s="31"/>
      <c r="BI20" s="31"/>
      <c r="BJ20" s="40"/>
    </row>
    <row r="21" spans="2:67" s="11" customFormat="1" ht="27.75" customHeight="1" x14ac:dyDescent="0.3">
      <c r="B21" s="13">
        <v>1</v>
      </c>
      <c r="C21" s="14"/>
      <c r="D21" s="15" t="s">
        <v>37</v>
      </c>
      <c r="E21" s="16"/>
      <c r="F21" s="13"/>
      <c r="G21" s="15" t="s">
        <v>45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3"/>
      <c r="T21" s="15">
        <v>5</v>
      </c>
      <c r="U21" s="16"/>
      <c r="V21" s="13"/>
      <c r="W21" s="14" t="s">
        <v>38</v>
      </c>
      <c r="X21" s="14"/>
      <c r="Y21" s="14"/>
      <c r="Z21" s="20">
        <v>18840000</v>
      </c>
      <c r="AA21" s="17"/>
      <c r="AB21" s="17"/>
      <c r="AC21" s="17"/>
      <c r="AD21" s="18"/>
      <c r="AE21" s="19">
        <f t="shared" ref="AE21" si="0">T21*Z21</f>
        <v>94200000</v>
      </c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>
        <f>AE21-AL21</f>
        <v>94200000</v>
      </c>
      <c r="AR21" s="19"/>
      <c r="AS21" s="19"/>
      <c r="AT21" s="19"/>
      <c r="AU21" s="19"/>
      <c r="AV21" s="19"/>
      <c r="AW21" s="19"/>
      <c r="AX21" s="17">
        <f t="shared" ref="AX21" si="1">AQ21*10/100</f>
        <v>9420000</v>
      </c>
      <c r="AY21" s="17"/>
      <c r="AZ21" s="17"/>
      <c r="BA21" s="17"/>
      <c r="BB21" s="18"/>
      <c r="BC21" s="19">
        <f>AQ21+AX21</f>
        <v>103620000</v>
      </c>
      <c r="BD21" s="19"/>
      <c r="BE21" s="19"/>
      <c r="BF21" s="19"/>
      <c r="BG21" s="19"/>
      <c r="BH21" s="19"/>
      <c r="BI21" s="19"/>
      <c r="BJ21" s="20"/>
    </row>
    <row r="22" spans="2:67" s="11" customFormat="1" ht="27.75" customHeight="1" x14ac:dyDescent="0.3">
      <c r="B22" s="13">
        <v>2</v>
      </c>
      <c r="C22" s="14"/>
      <c r="D22" s="15" t="s">
        <v>37</v>
      </c>
      <c r="E22" s="16"/>
      <c r="F22" s="13"/>
      <c r="G22" s="15" t="s">
        <v>50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3"/>
      <c r="T22" s="15">
        <v>6</v>
      </c>
      <c r="U22" s="16"/>
      <c r="V22" s="13"/>
      <c r="W22" s="14" t="s">
        <v>38</v>
      </c>
      <c r="X22" s="14"/>
      <c r="Y22" s="14"/>
      <c r="Z22" s="20">
        <v>2592000</v>
      </c>
      <c r="AA22" s="17"/>
      <c r="AB22" s="17"/>
      <c r="AC22" s="17"/>
      <c r="AD22" s="18"/>
      <c r="AE22" s="19">
        <f t="shared" ref="AE22:AE28" si="2">T22*Z22</f>
        <v>15552000</v>
      </c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>
        <f t="shared" ref="AQ22:AQ28" si="3">AE22-AL22</f>
        <v>15552000</v>
      </c>
      <c r="AR22" s="19"/>
      <c r="AS22" s="19"/>
      <c r="AT22" s="19"/>
      <c r="AU22" s="19"/>
      <c r="AV22" s="19"/>
      <c r="AW22" s="19"/>
      <c r="AX22" s="17">
        <f t="shared" ref="AX22:AX28" si="4">AQ22*10/100</f>
        <v>1555200</v>
      </c>
      <c r="AY22" s="17"/>
      <c r="AZ22" s="17"/>
      <c r="BA22" s="17"/>
      <c r="BB22" s="18"/>
      <c r="BC22" s="19">
        <f>AQ22+AX22</f>
        <v>17107200</v>
      </c>
      <c r="BD22" s="19"/>
      <c r="BE22" s="19"/>
      <c r="BF22" s="19"/>
      <c r="BG22" s="19"/>
      <c r="BH22" s="19"/>
      <c r="BI22" s="19"/>
      <c r="BJ22" s="20"/>
    </row>
    <row r="23" spans="2:67" ht="27.75" customHeight="1" x14ac:dyDescent="0.3">
      <c r="B23" s="13">
        <v>3</v>
      </c>
      <c r="C23" s="14"/>
      <c r="D23" s="15" t="s">
        <v>37</v>
      </c>
      <c r="E23" s="16"/>
      <c r="F23" s="13"/>
      <c r="G23" s="15" t="s">
        <v>44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3"/>
      <c r="T23" s="15">
        <v>105</v>
      </c>
      <c r="U23" s="16"/>
      <c r="V23" s="13"/>
      <c r="W23" s="14" t="s">
        <v>38</v>
      </c>
      <c r="X23" s="14"/>
      <c r="Y23" s="14"/>
      <c r="Z23" s="20">
        <v>10800000</v>
      </c>
      <c r="AA23" s="17"/>
      <c r="AB23" s="17"/>
      <c r="AC23" s="17"/>
      <c r="AD23" s="18"/>
      <c r="AE23" s="19">
        <f t="shared" si="2"/>
        <v>1134000000</v>
      </c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>
        <f t="shared" si="3"/>
        <v>1134000000</v>
      </c>
      <c r="AR23" s="19"/>
      <c r="AS23" s="19"/>
      <c r="AT23" s="19"/>
      <c r="AU23" s="19"/>
      <c r="AV23" s="19"/>
      <c r="AW23" s="19"/>
      <c r="AX23" s="17">
        <f t="shared" si="4"/>
        <v>113400000</v>
      </c>
      <c r="AY23" s="17"/>
      <c r="AZ23" s="17"/>
      <c r="BA23" s="17"/>
      <c r="BB23" s="18"/>
      <c r="BC23" s="19">
        <f>AX23+AQ23</f>
        <v>1247400000</v>
      </c>
      <c r="BD23" s="19"/>
      <c r="BE23" s="19"/>
      <c r="BF23" s="19"/>
      <c r="BG23" s="19"/>
      <c r="BH23" s="19"/>
      <c r="BI23" s="19"/>
      <c r="BJ23" s="20"/>
    </row>
    <row r="24" spans="2:67" ht="27.75" customHeight="1" x14ac:dyDescent="0.3">
      <c r="B24" s="13">
        <v>4</v>
      </c>
      <c r="C24" s="14"/>
      <c r="D24" s="15" t="s">
        <v>37</v>
      </c>
      <c r="E24" s="16"/>
      <c r="F24" s="13"/>
      <c r="G24" s="15" t="s">
        <v>43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3"/>
      <c r="T24" s="15">
        <v>3</v>
      </c>
      <c r="U24" s="16"/>
      <c r="V24" s="13"/>
      <c r="W24" s="14" t="s">
        <v>38</v>
      </c>
      <c r="X24" s="14"/>
      <c r="Y24" s="14"/>
      <c r="Z24" s="20">
        <v>21600000</v>
      </c>
      <c r="AA24" s="17"/>
      <c r="AB24" s="17"/>
      <c r="AC24" s="17"/>
      <c r="AD24" s="18"/>
      <c r="AE24" s="19">
        <f t="shared" si="2"/>
        <v>64800000</v>
      </c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>
        <f t="shared" si="3"/>
        <v>64800000</v>
      </c>
      <c r="AR24" s="19"/>
      <c r="AS24" s="19"/>
      <c r="AT24" s="19"/>
      <c r="AU24" s="19"/>
      <c r="AV24" s="19"/>
      <c r="AW24" s="19"/>
      <c r="AX24" s="17">
        <f t="shared" si="4"/>
        <v>6480000</v>
      </c>
      <c r="AY24" s="17"/>
      <c r="AZ24" s="17"/>
      <c r="BA24" s="17"/>
      <c r="BB24" s="18"/>
      <c r="BC24" s="19">
        <f t="shared" ref="BC24:BC28" si="5">AX24+AQ24</f>
        <v>71280000</v>
      </c>
      <c r="BD24" s="19"/>
      <c r="BE24" s="19"/>
      <c r="BF24" s="19"/>
      <c r="BG24" s="19"/>
      <c r="BH24" s="19"/>
      <c r="BI24" s="19"/>
      <c r="BJ24" s="20"/>
    </row>
    <row r="25" spans="2:67" s="12" customFormat="1" ht="27.75" customHeight="1" x14ac:dyDescent="0.3">
      <c r="B25" s="13">
        <v>5</v>
      </c>
      <c r="C25" s="14"/>
      <c r="D25" s="15" t="s">
        <v>37</v>
      </c>
      <c r="E25" s="16"/>
      <c r="F25" s="13"/>
      <c r="G25" s="14" t="s">
        <v>51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>
        <v>1</v>
      </c>
      <c r="U25" s="14"/>
      <c r="V25" s="14"/>
      <c r="W25" s="14" t="s">
        <v>38</v>
      </c>
      <c r="X25" s="14"/>
      <c r="Y25" s="14"/>
      <c r="Z25" s="19">
        <v>43200000</v>
      </c>
      <c r="AA25" s="19"/>
      <c r="AB25" s="19"/>
      <c r="AC25" s="19"/>
      <c r="AD25" s="19"/>
      <c r="AE25" s="19">
        <f t="shared" si="2"/>
        <v>43200000</v>
      </c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>
        <f t="shared" si="3"/>
        <v>43200000</v>
      </c>
      <c r="AR25" s="19"/>
      <c r="AS25" s="19"/>
      <c r="AT25" s="19"/>
      <c r="AU25" s="19"/>
      <c r="AV25" s="19"/>
      <c r="AW25" s="19"/>
      <c r="AX25" s="17">
        <f t="shared" si="4"/>
        <v>4320000</v>
      </c>
      <c r="AY25" s="17"/>
      <c r="AZ25" s="17"/>
      <c r="BA25" s="17"/>
      <c r="BB25" s="18"/>
      <c r="BC25" s="19">
        <f>AX25+AQ25</f>
        <v>47520000</v>
      </c>
      <c r="BD25" s="19"/>
      <c r="BE25" s="19"/>
      <c r="BF25" s="19"/>
      <c r="BG25" s="19"/>
      <c r="BH25" s="19"/>
      <c r="BI25" s="19"/>
      <c r="BJ25" s="20"/>
    </row>
    <row r="26" spans="2:67" s="12" customFormat="1" ht="27.75" customHeight="1" x14ac:dyDescent="0.3">
      <c r="B26" s="13">
        <v>6</v>
      </c>
      <c r="C26" s="14"/>
      <c r="D26" s="15" t="s">
        <v>37</v>
      </c>
      <c r="E26" s="16"/>
      <c r="F26" s="13"/>
      <c r="G26" s="14" t="s">
        <v>52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>
        <v>1</v>
      </c>
      <c r="U26" s="14"/>
      <c r="V26" s="14"/>
      <c r="W26" s="14" t="s">
        <v>38</v>
      </c>
      <c r="X26" s="14"/>
      <c r="Y26" s="14"/>
      <c r="Z26" s="19">
        <v>50400000</v>
      </c>
      <c r="AA26" s="19"/>
      <c r="AB26" s="19"/>
      <c r="AC26" s="19"/>
      <c r="AD26" s="19"/>
      <c r="AE26" s="19">
        <f t="shared" si="2"/>
        <v>50400000</v>
      </c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>
        <f t="shared" si="3"/>
        <v>50400000</v>
      </c>
      <c r="AR26" s="19"/>
      <c r="AS26" s="19"/>
      <c r="AT26" s="19"/>
      <c r="AU26" s="19"/>
      <c r="AV26" s="19"/>
      <c r="AW26" s="19"/>
      <c r="AX26" s="17">
        <f t="shared" si="4"/>
        <v>5040000</v>
      </c>
      <c r="AY26" s="17"/>
      <c r="AZ26" s="17"/>
      <c r="BA26" s="17"/>
      <c r="BB26" s="18"/>
      <c r="BC26" s="19">
        <f>AX26+AQ26</f>
        <v>55440000</v>
      </c>
      <c r="BD26" s="19"/>
      <c r="BE26" s="19"/>
      <c r="BF26" s="19"/>
      <c r="BG26" s="19"/>
      <c r="BH26" s="19"/>
      <c r="BI26" s="19"/>
      <c r="BJ26" s="20"/>
    </row>
    <row r="27" spans="2:67" s="12" customFormat="1" ht="27.75" customHeight="1" x14ac:dyDescent="0.3">
      <c r="B27" s="13">
        <v>7</v>
      </c>
      <c r="C27" s="14"/>
      <c r="D27" s="15" t="s">
        <v>37</v>
      </c>
      <c r="E27" s="16"/>
      <c r="F27" s="13"/>
      <c r="G27" s="14" t="s">
        <v>46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>
        <v>2</v>
      </c>
      <c r="U27" s="14"/>
      <c r="V27" s="14"/>
      <c r="W27" s="14" t="s">
        <v>38</v>
      </c>
      <c r="X27" s="14"/>
      <c r="Y27" s="14"/>
      <c r="Z27" s="19">
        <v>43200000</v>
      </c>
      <c r="AA27" s="19"/>
      <c r="AB27" s="19"/>
      <c r="AC27" s="19"/>
      <c r="AD27" s="19"/>
      <c r="AE27" s="19">
        <f t="shared" si="2"/>
        <v>86400000</v>
      </c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>
        <f t="shared" si="3"/>
        <v>86400000</v>
      </c>
      <c r="AR27" s="19"/>
      <c r="AS27" s="19"/>
      <c r="AT27" s="19"/>
      <c r="AU27" s="19"/>
      <c r="AV27" s="19"/>
      <c r="AW27" s="19"/>
      <c r="AX27" s="17">
        <f t="shared" si="4"/>
        <v>8640000</v>
      </c>
      <c r="AY27" s="17"/>
      <c r="AZ27" s="17"/>
      <c r="BA27" s="17"/>
      <c r="BB27" s="18"/>
      <c r="BC27" s="19">
        <f>AX27+AQ27</f>
        <v>95040000</v>
      </c>
      <c r="BD27" s="19"/>
      <c r="BE27" s="19"/>
      <c r="BF27" s="19"/>
      <c r="BG27" s="19"/>
      <c r="BH27" s="19"/>
      <c r="BI27" s="19"/>
      <c r="BJ27" s="20"/>
    </row>
    <row r="28" spans="2:67" s="12" customFormat="1" ht="27.75" customHeight="1" x14ac:dyDescent="0.3">
      <c r="B28" s="13">
        <v>8</v>
      </c>
      <c r="C28" s="14"/>
      <c r="D28" s="15" t="s">
        <v>37</v>
      </c>
      <c r="E28" s="16"/>
      <c r="F28" s="13"/>
      <c r="G28" s="14" t="s">
        <v>53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>
        <v>16</v>
      </c>
      <c r="U28" s="14"/>
      <c r="V28" s="14"/>
      <c r="W28" s="14" t="s">
        <v>38</v>
      </c>
      <c r="X28" s="14"/>
      <c r="Y28" s="14"/>
      <c r="Z28" s="19">
        <v>421200</v>
      </c>
      <c r="AA28" s="19"/>
      <c r="AB28" s="19"/>
      <c r="AC28" s="19"/>
      <c r="AD28" s="19"/>
      <c r="AE28" s="19">
        <f t="shared" si="2"/>
        <v>6739200</v>
      </c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>
        <f t="shared" si="3"/>
        <v>6739200</v>
      </c>
      <c r="AR28" s="19"/>
      <c r="AS28" s="19"/>
      <c r="AT28" s="19"/>
      <c r="AU28" s="19"/>
      <c r="AV28" s="19"/>
      <c r="AW28" s="19"/>
      <c r="AX28" s="17">
        <f t="shared" si="4"/>
        <v>673920</v>
      </c>
      <c r="AY28" s="17"/>
      <c r="AZ28" s="17"/>
      <c r="BA28" s="17"/>
      <c r="BB28" s="18"/>
      <c r="BC28" s="19">
        <f t="shared" si="5"/>
        <v>7413120</v>
      </c>
      <c r="BD28" s="19"/>
      <c r="BE28" s="19"/>
      <c r="BF28" s="19"/>
      <c r="BG28" s="19"/>
      <c r="BH28" s="19"/>
      <c r="BI28" s="19"/>
      <c r="BJ28" s="20"/>
    </row>
    <row r="29" spans="2:67" ht="24.75" customHeight="1" x14ac:dyDescent="0.3">
      <c r="B29" s="32" t="s">
        <v>27</v>
      </c>
      <c r="C29" s="32"/>
      <c r="D29" s="32"/>
      <c r="E29" s="32"/>
      <c r="F29" s="32"/>
      <c r="G29" s="32" t="s">
        <v>54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3"/>
      <c r="AE29" s="19">
        <f>SUM(AE21:AK28)</f>
        <v>1495291200</v>
      </c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>
        <f t="shared" ref="AQ29" si="6">AE29-AL29</f>
        <v>1495291200</v>
      </c>
      <c r="AR29" s="19"/>
      <c r="AS29" s="19"/>
      <c r="AT29" s="19"/>
      <c r="AU29" s="19"/>
      <c r="AV29" s="19"/>
      <c r="AW29" s="19"/>
      <c r="AX29" s="17">
        <f>SUM(AX21:BB28)</f>
        <v>149529120</v>
      </c>
      <c r="AY29" s="17"/>
      <c r="AZ29" s="17"/>
      <c r="BA29" s="17"/>
      <c r="BB29" s="18"/>
      <c r="BC29" s="19">
        <f>SUM(BC21:BJ28)</f>
        <v>1644820320</v>
      </c>
      <c r="BD29" s="19"/>
      <c r="BE29" s="19"/>
      <c r="BF29" s="19"/>
      <c r="BG29" s="19"/>
      <c r="BH29" s="19"/>
      <c r="BI29" s="19"/>
      <c r="BJ29" s="20"/>
    </row>
    <row r="30" spans="2:67" ht="24.75" customHeight="1" x14ac:dyDescent="0.3">
      <c r="B30" s="32" t="s">
        <v>49</v>
      </c>
      <c r="C30" s="32"/>
      <c r="D30" s="32"/>
      <c r="E30" s="32"/>
      <c r="F30" s="32"/>
      <c r="G30" s="32"/>
      <c r="H30" s="32"/>
      <c r="I30" s="16" t="s">
        <v>17</v>
      </c>
      <c r="J30" s="16"/>
      <c r="K30" s="53" t="s">
        <v>20</v>
      </c>
      <c r="L30" s="53"/>
      <c r="M30" s="16" t="s">
        <v>18</v>
      </c>
      <c r="N30" s="16"/>
      <c r="O30" s="16"/>
      <c r="P30" s="53" t="s">
        <v>20</v>
      </c>
      <c r="Q30" s="53"/>
      <c r="R30" s="6"/>
      <c r="S30" s="6"/>
      <c r="T30" s="6"/>
      <c r="U30" s="6"/>
      <c r="V30" s="6"/>
      <c r="W30" s="6"/>
      <c r="X30" s="6"/>
      <c r="Y30" s="6"/>
      <c r="Z30" s="6"/>
      <c r="AA30" s="6"/>
      <c r="AB30" s="5"/>
      <c r="AC30" s="5"/>
      <c r="AD30" s="5"/>
      <c r="AE30" s="49" t="s">
        <v>47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</row>
    <row r="31" spans="2:67" ht="30" customHeight="1" x14ac:dyDescent="0.3">
      <c r="B31" s="50" t="s">
        <v>28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1" t="s">
        <v>19</v>
      </c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O31" s="1" t="s">
        <v>29</v>
      </c>
    </row>
    <row r="32" spans="2:67" ht="30" customHeight="1" x14ac:dyDescent="0.3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52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</row>
    <row r="33" spans="32:60" ht="4.5" customHeight="1" x14ac:dyDescent="0.3"/>
    <row r="34" spans="32:60" ht="19.5" customHeight="1" x14ac:dyDescent="0.3">
      <c r="AF34" s="47" t="s">
        <v>36</v>
      </c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</row>
  </sheetData>
  <mergeCells count="153">
    <mergeCell ref="B7:J7"/>
    <mergeCell ref="AC7:AG7"/>
    <mergeCell ref="AE21:AK21"/>
    <mergeCell ref="AQ21:AW21"/>
    <mergeCell ref="AL20:AP20"/>
    <mergeCell ref="B21:C21"/>
    <mergeCell ref="D21:F21"/>
    <mergeCell ref="E11:AT11"/>
    <mergeCell ref="I9:P9"/>
    <mergeCell ref="G21:S21"/>
    <mergeCell ref="T21:V21"/>
    <mergeCell ref="W21:Y21"/>
    <mergeCell ref="Z21:AD21"/>
    <mergeCell ref="K14:AB14"/>
    <mergeCell ref="AC14:AG14"/>
    <mergeCell ref="Q9:T9"/>
    <mergeCell ref="AB9:AG9"/>
    <mergeCell ref="AU9:AX9"/>
    <mergeCell ref="AU11:AX11"/>
    <mergeCell ref="T20:V20"/>
    <mergeCell ref="W20:Y20"/>
    <mergeCell ref="B16:E16"/>
    <mergeCell ref="AF34:BH34"/>
    <mergeCell ref="AE30:BJ30"/>
    <mergeCell ref="B31:AD32"/>
    <mergeCell ref="AE31:BJ32"/>
    <mergeCell ref="AQ26:AW26"/>
    <mergeCell ref="AX26:BB26"/>
    <mergeCell ref="B30:H30"/>
    <mergeCell ref="I30:J30"/>
    <mergeCell ref="K30:L30"/>
    <mergeCell ref="M30:O30"/>
    <mergeCell ref="G27:S27"/>
    <mergeCell ref="T27:V27"/>
    <mergeCell ref="W27:Y27"/>
    <mergeCell ref="Z27:AD27"/>
    <mergeCell ref="AE27:AK27"/>
    <mergeCell ref="AL27:AP27"/>
    <mergeCell ref="AQ27:AW27"/>
    <mergeCell ref="P30:Q30"/>
    <mergeCell ref="B29:F29"/>
    <mergeCell ref="W26:Y26"/>
    <mergeCell ref="Z26:AD26"/>
    <mergeCell ref="B26:C26"/>
    <mergeCell ref="T26:V26"/>
    <mergeCell ref="AE26:AK26"/>
    <mergeCell ref="AY11:BI11"/>
    <mergeCell ref="B19:BJ19"/>
    <mergeCell ref="AX20:BB20"/>
    <mergeCell ref="B11:D11"/>
    <mergeCell ref="AQ20:AW20"/>
    <mergeCell ref="B20:C20"/>
    <mergeCell ref="D20:F20"/>
    <mergeCell ref="T22:V22"/>
    <mergeCell ref="W22:Y22"/>
    <mergeCell ref="Z22:AD22"/>
    <mergeCell ref="AE22:AK22"/>
    <mergeCell ref="AY18:BI18"/>
    <mergeCell ref="AB16:AG16"/>
    <mergeCell ref="AU16:AX16"/>
    <mergeCell ref="B18:D18"/>
    <mergeCell ref="AU18:AX18"/>
    <mergeCell ref="Z20:AD20"/>
    <mergeCell ref="F16:H16"/>
    <mergeCell ref="Q16:T16"/>
    <mergeCell ref="AE20:AK20"/>
    <mergeCell ref="BC20:BJ20"/>
    <mergeCell ref="AU14:AX14"/>
    <mergeCell ref="AX21:BB21"/>
    <mergeCell ref="AL21:AP21"/>
    <mergeCell ref="B24:C24"/>
    <mergeCell ref="D24:F24"/>
    <mergeCell ref="AE25:AK25"/>
    <mergeCell ref="F9:H9"/>
    <mergeCell ref="G29:AD29"/>
    <mergeCell ref="D23:F23"/>
    <mergeCell ref="Z23:AD23"/>
    <mergeCell ref="AE23:AK23"/>
    <mergeCell ref="B23:C23"/>
    <mergeCell ref="G23:S23"/>
    <mergeCell ref="T23:V23"/>
    <mergeCell ref="W23:Y23"/>
    <mergeCell ref="U9:AA9"/>
    <mergeCell ref="B9:E9"/>
    <mergeCell ref="B14:J14"/>
    <mergeCell ref="G24:S24"/>
    <mergeCell ref="T24:V24"/>
    <mergeCell ref="B25:C25"/>
    <mergeCell ref="D25:F25"/>
    <mergeCell ref="W24:Y24"/>
    <mergeCell ref="Z24:AD24"/>
    <mergeCell ref="G22:S22"/>
    <mergeCell ref="B22:C22"/>
    <mergeCell ref="D22:F22"/>
    <mergeCell ref="B3:D4"/>
    <mergeCell ref="E3:K4"/>
    <mergeCell ref="G20:S20"/>
    <mergeCell ref="D26:F26"/>
    <mergeCell ref="W25:Y25"/>
    <mergeCell ref="Z25:AD25"/>
    <mergeCell ref="AE24:AK24"/>
    <mergeCell ref="BC29:BJ29"/>
    <mergeCell ref="AL29:AP29"/>
    <mergeCell ref="AQ22:AW22"/>
    <mergeCell ref="AX22:BB22"/>
    <mergeCell ref="AQ23:AW23"/>
    <mergeCell ref="AX23:BB23"/>
    <mergeCell ref="AQ29:AW29"/>
    <mergeCell ref="AX29:BB29"/>
    <mergeCell ref="AQ24:AW24"/>
    <mergeCell ref="AX24:BB24"/>
    <mergeCell ref="AX25:BB25"/>
    <mergeCell ref="AL22:AP22"/>
    <mergeCell ref="AL23:AP23"/>
    <mergeCell ref="AL24:AP24"/>
    <mergeCell ref="AL25:AP25"/>
    <mergeCell ref="AL26:AP26"/>
    <mergeCell ref="AQ25:AW25"/>
    <mergeCell ref="G26:S26"/>
    <mergeCell ref="G25:S25"/>
    <mergeCell ref="T25:V25"/>
    <mergeCell ref="AE29:AK29"/>
    <mergeCell ref="AX28:BB28"/>
    <mergeCell ref="BC28:BJ28"/>
    <mergeCell ref="AL28:AP28"/>
    <mergeCell ref="BC27:BJ27"/>
    <mergeCell ref="AZ3:BD4"/>
    <mergeCell ref="BE3:BH4"/>
    <mergeCell ref="BC21:BJ21"/>
    <mergeCell ref="BC22:BJ22"/>
    <mergeCell ref="BC23:BJ23"/>
    <mergeCell ref="BC24:BJ24"/>
    <mergeCell ref="BC25:BJ25"/>
    <mergeCell ref="BC26:BJ26"/>
    <mergeCell ref="B5:BJ5"/>
    <mergeCell ref="K7:AB7"/>
    <mergeCell ref="AU7:AX7"/>
    <mergeCell ref="E18:AT18"/>
    <mergeCell ref="I16:P16"/>
    <mergeCell ref="U16:AA16"/>
    <mergeCell ref="B12:BJ12"/>
    <mergeCell ref="S1:AS4"/>
    <mergeCell ref="B27:C27"/>
    <mergeCell ref="D27:F27"/>
    <mergeCell ref="AX27:BB27"/>
    <mergeCell ref="B28:C28"/>
    <mergeCell ref="D28:F28"/>
    <mergeCell ref="G28:S28"/>
    <mergeCell ref="T28:V28"/>
    <mergeCell ref="W28:Y28"/>
    <mergeCell ref="Z28:AD28"/>
    <mergeCell ref="AE28:AK28"/>
    <mergeCell ref="AQ28:AW28"/>
  </mergeCells>
  <printOptions horizontalCentered="1"/>
  <pageMargins left="0.35433070866141736" right="0.35433070866141736" top="0" bottom="0" header="0" footer="0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جدیدتر</vt:lpstr>
      <vt:lpstr>جدیدتر!Print_Area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ASUS</cp:lastModifiedBy>
  <cp:lastPrinted>2026-04-26T09:23:59Z</cp:lastPrinted>
  <dcterms:created xsi:type="dcterms:W3CDTF">2017-08-09T06:50:52Z</dcterms:created>
  <dcterms:modified xsi:type="dcterms:W3CDTF">2026-04-26T13:45:20Z</dcterms:modified>
</cp:coreProperties>
</file>